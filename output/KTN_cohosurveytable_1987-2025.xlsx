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TN_survey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<sst xmlns="http://schemas.openxmlformats.org/spreadsheetml/2006/main" count="16" uniqueCount="16">
  <si>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Year</t>
  </si>
  <si>
    <t xml:space="preserve">Herman Creek</t>
  </si>
  <si>
    <t xml:space="preserve">Grant Creek</t>
  </si>
  <si>
    <t xml:space="preserve">Eulachon River</t>
  </si>
  <si>
    <t xml:space="preserve">Klahini River</t>
  </si>
  <si>
    <t xml:space="preserve">Indian Creek</t>
  </si>
  <si>
    <t xml:space="preserve">Barrier Creek</t>
  </si>
  <si>
    <t xml:space="preserve">King Creek</t>
  </si>
  <si>
    <t xml:space="preserve">Choca Creek</t>
  </si>
  <si>
    <t xml:space="preserve">Carroll Creek</t>
  </si>
  <si>
    <t xml:space="preserve">Blossom River</t>
  </si>
  <si>
    <t xml:space="preserve">Keta River</t>
  </si>
  <si>
    <t xml:space="preserve">Marten River</t>
  </si>
  <si>
    <t xml:space="preserve">Humpback Creek</t>
  </si>
  <si>
    <t xml:space="preserve">Tombstone River</t>
  </si>
  <si>
    <t xml:space="preserve">Survey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</si>
</sst>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,##0"/>
    <numFmt numFmtId="166" formatCode="0"/>
    <numFmt numFmtId="167" formatCode="#,##0"/>
    <numFmt numFmtId="168" formatCode="0"/>
  </numFmts>
  <fonts count="1"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Font="1" applyNumberFormat="1"/>
    <xf numFmtId="166" fontId="0" fillId="0" borderId="0" xfId="0" applyFont="1" applyNumberFormat="1"/>
    <xf numFmtId="3" fontId="0" fillId="0" borderId="1" xfId="0" applyFont="1" applyNumberFormat="1" applyBorder="1" applyAlignment="1">
      <alignment horizontal="center" wrapText="1"/>
    </xf>
    <xf numFmtId="167" fontId="0" fillId="0" borderId="0" xfId="0" applyFont="1" applyNumberFormat="1"/>
    <xf numFmtId="3" fontId="0" fillId="0" borderId="1" xfId="0" applyFont="1" applyNumberFormat="1" applyBorder="1"/>
    <xf numFmtId="168" fontId="0" fillId="0" borderId="1" xfId="0" applyFont="1" applyNumberFormat="1" applyBorder="1"/>
  </cellXfs>
  <cellStyles count="1">
    <cellStyle name="Normal" xfId="0" builtinId="0"/>
  </cellStyles>
  <dxfs count="1">
    <dxf>
      <font>
        <sz val="12"/>
        <color rgb="FF000000"/>
        <name val="Times New Roman"/>
        <b/>
      </font>
      <fill>
        <patternFill patternType="solid">
          <bgColor rgb="FFD9D9D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7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7.71" hidden="0" customWidth="1"/>
    <col min="10" max="10" width="7.71" hidden="0" customWidth="1"/>
    <col min="11" max="11" width="7.71" hidden="0" customWidth="1"/>
    <col min="12" max="12" width="7.71" hidden="0" customWidth="1"/>
    <col min="13" max="13" width="7.71" hidden="0" customWidth="1"/>
    <col min="14" max="14" width="9.71" hidden="0" customWidth="1"/>
    <col min="15" max="15" width="9.71" hidden="0" customWidth="1"/>
    <col min="16" max="16" width="7.71" hidden="0" customWidth="1"/>
  </cols>
  <sheetData>
    <row r="1" ht="3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2" t="n">
        <v>1987</v>
      </c>
      <c r="B2" s="1" t="n">
        <v>92</v>
      </c>
      <c r="C2" s="1" t="n">
        <v>90.4670895445822</v>
      </c>
      <c r="D2" s="1" t="n">
        <v>154</v>
      </c>
      <c r="E2" s="1" t="n">
        <v>65.4926395572822</v>
      </c>
      <c r="F2" s="1" t="n">
        <v>350.241827879241</v>
      </c>
      <c r="G2" s="1" t="n">
        <v>113.672089010666</v>
      </c>
      <c r="H2" s="1" t="n">
        <v>227.267914318043</v>
      </c>
      <c r="I2" s="1" t="n">
        <v>137.815264542817</v>
      </c>
      <c r="J2" s="1" t="n">
        <v>180</v>
      </c>
      <c r="K2" s="1" t="n">
        <v>700</v>
      </c>
      <c r="L2" s="1" t="n">
        <v>800</v>
      </c>
      <c r="M2" s="1" t="n">
        <v>740</v>
      </c>
      <c r="N2" s="1" t="n">
        <v>650</v>
      </c>
      <c r="O2" s="1" t="n">
        <v>532</v>
      </c>
      <c r="P2" s="4" t="str">
        <f>SUM(B2:O2)</f>
      </c>
    </row>
    <row r="3">
      <c r="A3" s="2" t="n">
        <v>1988</v>
      </c>
      <c r="B3" s="1" t="n">
        <v>72</v>
      </c>
      <c r="C3" s="1" t="n">
        <v>150</v>
      </c>
      <c r="D3" s="1" t="n">
        <v>205</v>
      </c>
      <c r="E3" s="1" t="n">
        <v>20</v>
      </c>
      <c r="F3" s="1" t="n">
        <v>300</v>
      </c>
      <c r="G3" s="1" t="n">
        <v>50</v>
      </c>
      <c r="H3" s="1" t="n">
        <v>175</v>
      </c>
      <c r="I3" s="1" t="n">
        <v>150</v>
      </c>
      <c r="J3" s="1" t="n">
        <v>193</v>
      </c>
      <c r="K3" s="1" t="n">
        <v>790</v>
      </c>
      <c r="L3" s="1" t="n">
        <v>850</v>
      </c>
      <c r="M3" s="1" t="n">
        <v>600</v>
      </c>
      <c r="N3" s="1" t="n">
        <v>52</v>
      </c>
      <c r="O3" s="1" t="n">
        <v>1400</v>
      </c>
      <c r="P3" s="4" t="str">
        <f>SUM(B3:O3)</f>
      </c>
    </row>
    <row r="4">
      <c r="A4" s="2" t="n">
        <v>1989</v>
      </c>
      <c r="B4" s="1" t="n">
        <v>75</v>
      </c>
      <c r="C4" s="1" t="n">
        <v>101</v>
      </c>
      <c r="D4" s="1" t="n">
        <v>290</v>
      </c>
      <c r="E4" s="1" t="n">
        <v>15</v>
      </c>
      <c r="F4" s="1" t="n">
        <v>925</v>
      </c>
      <c r="G4" s="1" t="n">
        <v>450</v>
      </c>
      <c r="H4" s="1" t="n">
        <v>510</v>
      </c>
      <c r="I4" s="1" t="n">
        <v>200</v>
      </c>
      <c r="J4" s="1" t="n">
        <v>314.202218491726</v>
      </c>
      <c r="K4" s="1" t="n">
        <v>1000</v>
      </c>
      <c r="L4" s="1" t="n">
        <v>650</v>
      </c>
      <c r="M4" s="1" t="n">
        <v>1175</v>
      </c>
      <c r="N4" s="1" t="n">
        <v>350</v>
      </c>
      <c r="O4" s="1" t="n">
        <v>950</v>
      </c>
      <c r="P4" s="4" t="str">
        <f>SUM(B4:O4)</f>
      </c>
    </row>
    <row r="5">
      <c r="A5" s="2" t="n">
        <v>1990</v>
      </c>
      <c r="B5" s="1" t="n">
        <v>150</v>
      </c>
      <c r="C5" s="1" t="n">
        <v>30</v>
      </c>
      <c r="D5" s="1" t="n">
        <v>235</v>
      </c>
      <c r="E5" s="1" t="n">
        <v>150</v>
      </c>
      <c r="F5" s="1" t="n">
        <v>256.064492683357</v>
      </c>
      <c r="G5" s="1" t="n">
        <v>83.1065380769125</v>
      </c>
      <c r="H5" s="1" t="n">
        <v>35</v>
      </c>
      <c r="I5" s="1" t="n">
        <v>100.757799297879</v>
      </c>
      <c r="J5" s="1" t="n">
        <v>158.483055695106</v>
      </c>
      <c r="K5" s="1" t="n">
        <v>800</v>
      </c>
      <c r="L5" s="1" t="n">
        <v>550</v>
      </c>
      <c r="M5" s="1" t="n">
        <v>575</v>
      </c>
      <c r="N5" s="1" t="n">
        <v>135</v>
      </c>
      <c r="O5" s="1" t="n">
        <v>275</v>
      </c>
      <c r="P5" s="4" t="str">
        <f>SUM(B5:O5)</f>
      </c>
    </row>
    <row r="6">
      <c r="A6" s="2" t="n">
        <v>1991</v>
      </c>
      <c r="B6" s="1" t="n">
        <v>245</v>
      </c>
      <c r="C6" s="1" t="n">
        <v>50</v>
      </c>
      <c r="D6" s="1" t="n">
        <v>285</v>
      </c>
      <c r="E6" s="1" t="n">
        <v>50</v>
      </c>
      <c r="F6" s="1" t="n">
        <v>550</v>
      </c>
      <c r="G6" s="1" t="n">
        <v>100</v>
      </c>
      <c r="H6" s="1" t="n">
        <v>300</v>
      </c>
      <c r="I6" s="1" t="n">
        <v>220</v>
      </c>
      <c r="J6" s="1" t="n">
        <v>375</v>
      </c>
      <c r="K6" s="1" t="n">
        <v>725</v>
      </c>
      <c r="L6" s="1" t="n">
        <v>800</v>
      </c>
      <c r="M6" s="1" t="n">
        <v>575</v>
      </c>
      <c r="N6" s="1" t="n">
        <v>671</v>
      </c>
      <c r="O6" s="1" t="n">
        <v>775</v>
      </c>
      <c r="P6" s="4" t="str">
        <f>SUM(B6:O6)</f>
      </c>
    </row>
    <row r="7">
      <c r="A7" s="2" t="n">
        <v>1992</v>
      </c>
      <c r="B7" s="1" t="n">
        <v>115</v>
      </c>
      <c r="C7" s="1" t="n">
        <v>270</v>
      </c>
      <c r="D7" s="1" t="n">
        <v>860</v>
      </c>
      <c r="E7" s="1" t="n">
        <v>90</v>
      </c>
      <c r="F7" s="1" t="n">
        <v>675</v>
      </c>
      <c r="G7" s="1" t="n">
        <v>100</v>
      </c>
      <c r="H7" s="1" t="n">
        <v>250</v>
      </c>
      <c r="I7" s="1" t="n">
        <v>150</v>
      </c>
      <c r="J7" s="1" t="n">
        <v>360</v>
      </c>
      <c r="K7" s="1" t="n">
        <v>650</v>
      </c>
      <c r="L7" s="1" t="n">
        <v>627</v>
      </c>
      <c r="M7" s="1" t="n">
        <v>1285</v>
      </c>
      <c r="N7" s="1" t="n">
        <v>550</v>
      </c>
      <c r="O7" s="1" t="n">
        <v>1035</v>
      </c>
      <c r="P7" s="4" t="str">
        <f>SUM(B7:O7)</f>
      </c>
    </row>
    <row r="8">
      <c r="A8" s="2" t="n">
        <v>1993</v>
      </c>
      <c r="B8" s="1" t="n">
        <v>90</v>
      </c>
      <c r="C8" s="1" t="n">
        <v>175</v>
      </c>
      <c r="D8" s="1" t="n">
        <v>460</v>
      </c>
      <c r="E8" s="1" t="n">
        <v>50</v>
      </c>
      <c r="F8" s="1" t="n">
        <v>475</v>
      </c>
      <c r="G8" s="1" t="n">
        <v>325</v>
      </c>
      <c r="H8" s="1" t="n">
        <v>110</v>
      </c>
      <c r="I8" s="1" t="n">
        <v>300</v>
      </c>
      <c r="J8" s="1" t="n">
        <v>310</v>
      </c>
      <c r="K8" s="1" t="n">
        <v>850</v>
      </c>
      <c r="L8" s="1" t="n">
        <v>725</v>
      </c>
      <c r="M8" s="1" t="n">
        <v>1525</v>
      </c>
      <c r="N8" s="1" t="n">
        <v>600</v>
      </c>
      <c r="O8" s="1" t="n">
        <v>1275</v>
      </c>
      <c r="P8" s="4" t="str">
        <f>SUM(B8:O8)</f>
      </c>
    </row>
    <row r="9">
      <c r="A9" s="2" t="n">
        <v>1994</v>
      </c>
      <c r="B9" s="1" t="n">
        <v>265</v>
      </c>
      <c r="C9" s="1" t="n">
        <v>220</v>
      </c>
      <c r="D9" s="1" t="n">
        <v>755</v>
      </c>
      <c r="E9" s="1" t="n">
        <v>200</v>
      </c>
      <c r="F9" s="1" t="n">
        <v>560</v>
      </c>
      <c r="G9" s="1" t="n">
        <v>175</v>
      </c>
      <c r="H9" s="1" t="n">
        <v>325</v>
      </c>
      <c r="I9" s="1" t="n">
        <v>225</v>
      </c>
      <c r="J9" s="1" t="n">
        <v>475</v>
      </c>
      <c r="K9" s="1" t="n">
        <v>775</v>
      </c>
      <c r="L9" s="1" t="n">
        <v>1100</v>
      </c>
      <c r="M9" s="1" t="n">
        <v>2205</v>
      </c>
      <c r="N9" s="1" t="n">
        <v>560</v>
      </c>
      <c r="O9" s="1" t="n">
        <v>850</v>
      </c>
      <c r="P9" s="4" t="str">
        <f>SUM(B9:O9)</f>
      </c>
    </row>
    <row r="10">
      <c r="A10" s="2" t="n">
        <v>1995</v>
      </c>
      <c r="B10" s="1" t="n">
        <v>250</v>
      </c>
      <c r="C10" s="1" t="n">
        <v>94</v>
      </c>
      <c r="D10" s="1" t="n">
        <v>435</v>
      </c>
      <c r="E10" s="1" t="n">
        <v>165</v>
      </c>
      <c r="F10" s="1" t="n">
        <v>600</v>
      </c>
      <c r="G10" s="1" t="n">
        <v>220</v>
      </c>
      <c r="H10" s="1" t="n">
        <v>415</v>
      </c>
      <c r="I10" s="1" t="n">
        <v>180</v>
      </c>
      <c r="J10" s="1" t="n">
        <v>400</v>
      </c>
      <c r="K10" s="1" t="n">
        <v>800</v>
      </c>
      <c r="L10" s="1" t="n">
        <v>1155</v>
      </c>
      <c r="M10" s="1" t="n">
        <v>1385</v>
      </c>
      <c r="N10" s="1" t="n">
        <v>82</v>
      </c>
      <c r="O10" s="1" t="n">
        <v>2446</v>
      </c>
      <c r="P10" s="4" t="str">
        <f>SUM(B10:O10)</f>
      </c>
    </row>
    <row r="11">
      <c r="A11" s="2" t="n">
        <v>1996</v>
      </c>
      <c r="B11" s="1" t="n">
        <v>94</v>
      </c>
      <c r="C11" s="1" t="n">
        <v>92</v>
      </c>
      <c r="D11" s="1" t="n">
        <v>383</v>
      </c>
      <c r="E11" s="1" t="n">
        <v>40</v>
      </c>
      <c r="F11" s="1" t="n">
        <v>570</v>
      </c>
      <c r="G11" s="1" t="n">
        <v>230</v>
      </c>
      <c r="H11" s="1" t="n">
        <v>457</v>
      </c>
      <c r="I11" s="1" t="n">
        <v>220</v>
      </c>
      <c r="J11" s="1" t="n">
        <v>240</v>
      </c>
      <c r="K11" s="1" t="n">
        <v>829</v>
      </c>
      <c r="L11" s="1" t="n">
        <v>1506</v>
      </c>
      <c r="M11" s="1" t="n">
        <v>1924</v>
      </c>
      <c r="N11" s="1" t="n">
        <v>440</v>
      </c>
      <c r="O11" s="1" t="n">
        <v>1806</v>
      </c>
      <c r="P11" s="4" t="str">
        <f>SUM(B11:O11)</f>
      </c>
    </row>
    <row r="12">
      <c r="A12" s="2" t="n">
        <v>1997</v>
      </c>
      <c r="B12" s="1" t="n">
        <v>75</v>
      </c>
      <c r="C12" s="1" t="n">
        <v>94.2787023594711</v>
      </c>
      <c r="D12" s="1" t="n">
        <v>420</v>
      </c>
      <c r="E12" s="1" t="n">
        <v>60</v>
      </c>
      <c r="F12" s="1" t="n">
        <v>364.998423301676</v>
      </c>
      <c r="G12" s="1" t="n">
        <v>118.46138855981</v>
      </c>
      <c r="H12" s="1" t="n">
        <v>236.84330022897</v>
      </c>
      <c r="I12" s="1" t="n">
        <v>175</v>
      </c>
      <c r="J12" s="1" t="n">
        <v>140</v>
      </c>
      <c r="K12" s="1" t="n">
        <v>1143</v>
      </c>
      <c r="L12" s="1" t="n">
        <v>571</v>
      </c>
      <c r="M12" s="1" t="n">
        <v>759</v>
      </c>
      <c r="N12" s="1" t="n">
        <v>32</v>
      </c>
      <c r="O12" s="1" t="n">
        <v>847</v>
      </c>
      <c r="P12" s="4" t="str">
        <f>SUM(B12:O12)</f>
      </c>
    </row>
    <row r="13">
      <c r="A13" s="2" t="n">
        <v>1998</v>
      </c>
      <c r="B13" s="1" t="n">
        <v>94</v>
      </c>
      <c r="C13" s="1" t="n">
        <v>130</v>
      </c>
      <c r="D13" s="1" t="n">
        <v>460</v>
      </c>
      <c r="E13" s="1" t="n">
        <v>120</v>
      </c>
      <c r="F13" s="1" t="n">
        <v>304</v>
      </c>
      <c r="G13" s="1" t="n">
        <v>50</v>
      </c>
      <c r="H13" s="1" t="n">
        <v>411</v>
      </c>
      <c r="I13" s="1" t="n">
        <v>190</v>
      </c>
      <c r="J13" s="1" t="n">
        <v>320.025126142746</v>
      </c>
      <c r="K13" s="1" t="n">
        <v>1004</v>
      </c>
      <c r="L13" s="1" t="n">
        <v>1169</v>
      </c>
      <c r="M13" s="1" t="n">
        <v>1961</v>
      </c>
      <c r="N13" s="1" t="n">
        <v>256</v>
      </c>
      <c r="O13" s="1" t="n">
        <v>666</v>
      </c>
      <c r="P13" s="4" t="str">
        <f>SUM(B13:O13)</f>
      </c>
    </row>
    <row r="14">
      <c r="A14" s="2" t="n">
        <v>1999</v>
      </c>
      <c r="B14" s="1" t="n">
        <v>75</v>
      </c>
      <c r="C14" s="1" t="n">
        <v>127</v>
      </c>
      <c r="D14" s="1" t="n">
        <v>657</v>
      </c>
      <c r="E14" s="1" t="n">
        <v>150</v>
      </c>
      <c r="F14" s="1" t="n">
        <v>356</v>
      </c>
      <c r="G14" s="1" t="n">
        <v>25</v>
      </c>
      <c r="H14" s="1" t="n">
        <v>627</v>
      </c>
      <c r="I14" s="1" t="n">
        <v>225</v>
      </c>
      <c r="J14" s="1" t="n">
        <v>425</v>
      </c>
      <c r="K14" s="1" t="n">
        <v>598</v>
      </c>
      <c r="L14" s="1" t="n">
        <v>1895</v>
      </c>
      <c r="M14" s="1" t="n">
        <v>1518</v>
      </c>
      <c r="N14" s="1" t="n">
        <v>520</v>
      </c>
      <c r="O14" s="1" t="n">
        <v>840</v>
      </c>
      <c r="P14" s="4" t="str">
        <f>SUM(B14:O14)</f>
      </c>
    </row>
    <row r="15">
      <c r="A15" s="2" t="n">
        <v>2000</v>
      </c>
      <c r="B15" s="1" t="n">
        <v>135</v>
      </c>
      <c r="C15" s="1" t="n">
        <v>94</v>
      </c>
      <c r="D15" s="1" t="n">
        <v>600</v>
      </c>
      <c r="E15" s="1" t="n">
        <v>110</v>
      </c>
      <c r="F15" s="1" t="n">
        <v>380</v>
      </c>
      <c r="G15" s="1" t="n">
        <v>72</v>
      </c>
      <c r="H15" s="1" t="n">
        <v>620</v>
      </c>
      <c r="I15" s="1" t="n">
        <v>180</v>
      </c>
      <c r="J15" s="1" t="n">
        <v>275</v>
      </c>
      <c r="K15" s="1" t="n">
        <v>1354</v>
      </c>
      <c r="L15" s="1" t="n">
        <v>1619</v>
      </c>
      <c r="M15" s="1" t="n">
        <v>1421</v>
      </c>
      <c r="N15" s="1" t="n">
        <v>102</v>
      </c>
      <c r="O15" s="1" t="n">
        <v>1672</v>
      </c>
      <c r="P15" s="4" t="str">
        <f>SUM(B15:O15)</f>
      </c>
    </row>
    <row r="16">
      <c r="A16" s="2" t="n">
        <v>2001</v>
      </c>
      <c r="B16" s="1" t="n">
        <v>80</v>
      </c>
      <c r="C16" s="1" t="n">
        <v>110</v>
      </c>
      <c r="D16" s="1" t="n">
        <v>929</v>
      </c>
      <c r="E16" s="1" t="n">
        <v>151</v>
      </c>
      <c r="F16" s="1" t="n">
        <v>1140</v>
      </c>
      <c r="G16" s="1" t="n">
        <v>15</v>
      </c>
      <c r="H16" s="1" t="n">
        <v>891</v>
      </c>
      <c r="I16" s="1" t="n">
        <v>450</v>
      </c>
      <c r="J16" s="1" t="n">
        <v>173</v>
      </c>
      <c r="K16" s="1" t="n">
        <v>1561</v>
      </c>
      <c r="L16" s="1" t="n">
        <v>1691.16034055392</v>
      </c>
      <c r="M16" s="1" t="n">
        <v>1956</v>
      </c>
      <c r="N16" s="1" t="n">
        <v>506</v>
      </c>
      <c r="O16" s="1" t="n">
        <v>1854.28003666784</v>
      </c>
      <c r="P16" s="4" t="str">
        <f>SUM(B16:O16)</f>
      </c>
    </row>
    <row r="17">
      <c r="A17" s="2" t="n">
        <v>2002</v>
      </c>
      <c r="B17" s="1" t="n">
        <v>88</v>
      </c>
      <c r="C17" s="1" t="n">
        <v>138</v>
      </c>
      <c r="D17" s="1" t="n">
        <v>1105</v>
      </c>
      <c r="E17" s="1" t="n">
        <v>20</v>
      </c>
      <c r="F17" s="1" t="n">
        <v>940</v>
      </c>
      <c r="G17" s="1" t="n">
        <v>70</v>
      </c>
      <c r="H17" s="1" t="n">
        <v>700</v>
      </c>
      <c r="I17" s="1" t="n">
        <v>220</v>
      </c>
      <c r="J17" s="1" t="n">
        <v>270</v>
      </c>
      <c r="K17" s="1" t="n">
        <v>1359</v>
      </c>
      <c r="L17" s="1" t="n">
        <v>1368</v>
      </c>
      <c r="M17" s="1" t="n">
        <v>2302</v>
      </c>
      <c r="N17" s="1" t="n">
        <v>2004</v>
      </c>
      <c r="O17" s="1" t="n">
        <v>1639</v>
      </c>
      <c r="P17" s="4" t="str">
        <f>SUM(B17:O17)</f>
      </c>
    </row>
    <row r="18">
      <c r="A18" s="2" t="n">
        <v>2003</v>
      </c>
      <c r="B18" s="1" t="n">
        <v>242</v>
      </c>
      <c r="C18" s="1" t="n">
        <v>196.270353060453</v>
      </c>
      <c r="D18" s="1" t="n">
        <v>875</v>
      </c>
      <c r="E18" s="1" t="n">
        <v>39</v>
      </c>
      <c r="F18" s="1" t="n">
        <v>690</v>
      </c>
      <c r="G18" s="1" t="n">
        <v>57</v>
      </c>
      <c r="H18" s="1" t="n">
        <v>1140</v>
      </c>
      <c r="I18" s="1" t="n">
        <v>380</v>
      </c>
      <c r="J18" s="1" t="n">
        <v>460.157778870228</v>
      </c>
      <c r="K18" s="1" t="n">
        <v>1940</v>
      </c>
      <c r="L18" s="1" t="n">
        <v>1934</v>
      </c>
      <c r="M18" s="1" t="n">
        <v>1980</v>
      </c>
      <c r="N18" s="1" t="n">
        <v>214</v>
      </c>
      <c r="O18" s="1" t="n">
        <v>1745</v>
      </c>
      <c r="P18" s="4" t="str">
        <f>SUM(B18:O18)</f>
      </c>
    </row>
    <row r="19">
      <c r="A19" s="2" t="n">
        <v>2004</v>
      </c>
      <c r="B19" s="1" t="n">
        <v>150</v>
      </c>
      <c r="C19" s="1" t="n">
        <v>230</v>
      </c>
      <c r="D19" s="1" t="n">
        <v>801</v>
      </c>
      <c r="E19" s="1" t="n">
        <v>170</v>
      </c>
      <c r="F19" s="1" t="n">
        <v>935</v>
      </c>
      <c r="G19" s="1" t="n">
        <v>250</v>
      </c>
      <c r="H19" s="1" t="n">
        <v>640</v>
      </c>
      <c r="I19" s="1" t="n">
        <v>180</v>
      </c>
      <c r="J19" s="1" t="n">
        <v>455</v>
      </c>
      <c r="K19" s="1" t="n">
        <v>1005</v>
      </c>
      <c r="L19" s="1" t="n">
        <v>1200</v>
      </c>
      <c r="M19" s="1" t="n">
        <v>3215</v>
      </c>
      <c r="N19" s="1" t="n">
        <v>1230</v>
      </c>
      <c r="O19" s="1" t="n">
        <v>823</v>
      </c>
      <c r="P19" s="4" t="str">
        <f>SUM(B19:O19)</f>
      </c>
    </row>
    <row r="20">
      <c r="A20" s="2" t="n">
        <v>2005</v>
      </c>
      <c r="B20" s="1" t="n">
        <v>510</v>
      </c>
      <c r="C20" s="1" t="n">
        <v>300</v>
      </c>
      <c r="D20" s="1" t="n">
        <v>1240</v>
      </c>
      <c r="E20" s="1" t="n">
        <v>360</v>
      </c>
      <c r="F20" s="1" t="n">
        <v>890</v>
      </c>
      <c r="G20" s="1" t="n">
        <v>190</v>
      </c>
      <c r="H20" s="1" t="n">
        <v>810</v>
      </c>
      <c r="I20" s="1" t="n">
        <v>270</v>
      </c>
      <c r="J20" s="1" t="n">
        <v>500</v>
      </c>
      <c r="K20" s="1" t="n">
        <v>3680</v>
      </c>
      <c r="L20" s="1" t="n">
        <v>3290</v>
      </c>
      <c r="M20" s="1" t="n">
        <v>1130</v>
      </c>
      <c r="N20" s="1" t="n">
        <v>500</v>
      </c>
      <c r="O20" s="1" t="n">
        <v>1170</v>
      </c>
      <c r="P20" s="4" t="str">
        <f>SUM(B20:O20)</f>
      </c>
    </row>
    <row r="21">
      <c r="A21" s="2" t="n">
        <v>2006</v>
      </c>
      <c r="B21" s="1" t="n">
        <v>165</v>
      </c>
      <c r="C21" s="1" t="n">
        <v>118.194705486754</v>
      </c>
      <c r="D21" s="1" t="n">
        <v>190</v>
      </c>
      <c r="E21" s="1" t="n">
        <v>176</v>
      </c>
      <c r="F21" s="1" t="n">
        <v>280</v>
      </c>
      <c r="G21" s="1" t="n">
        <v>30</v>
      </c>
      <c r="H21" s="1" t="n">
        <v>405</v>
      </c>
      <c r="I21" s="1" t="n">
        <v>130</v>
      </c>
      <c r="J21" s="1" t="n">
        <v>264.481818455417</v>
      </c>
      <c r="K21" s="1" t="n">
        <v>2300</v>
      </c>
      <c r="L21" s="1" t="n">
        <v>645</v>
      </c>
      <c r="M21" s="1" t="n">
        <v>335</v>
      </c>
      <c r="N21" s="1" t="n">
        <v>260</v>
      </c>
      <c r="O21" s="1" t="n">
        <v>1600</v>
      </c>
      <c r="P21" s="4" t="str">
        <f>SUM(B21:O21)</f>
      </c>
    </row>
    <row r="22">
      <c r="A22" s="2" t="n">
        <v>2007</v>
      </c>
      <c r="B22" s="1" t="n">
        <v>134</v>
      </c>
      <c r="C22" s="1" t="n">
        <v>75</v>
      </c>
      <c r="D22" s="1" t="n">
        <v>334.175725588222</v>
      </c>
      <c r="E22" s="1" t="n">
        <v>35</v>
      </c>
      <c r="F22" s="1" t="n">
        <v>245</v>
      </c>
      <c r="G22" s="1" t="n">
        <v>15</v>
      </c>
      <c r="H22" s="1" t="n">
        <v>290</v>
      </c>
      <c r="I22" s="1" t="n">
        <v>210</v>
      </c>
      <c r="J22" s="1" t="n">
        <v>185.326212471922</v>
      </c>
      <c r="K22" s="1" t="n">
        <v>990</v>
      </c>
      <c r="L22" s="1" t="n">
        <v>970</v>
      </c>
      <c r="M22" s="1" t="n">
        <v>351</v>
      </c>
      <c r="N22" s="1" t="n">
        <v>286.284769235734</v>
      </c>
      <c r="O22" s="1" t="n">
        <v>713.215110740951</v>
      </c>
      <c r="P22" s="4" t="str">
        <f>SUM(B22:O22)</f>
      </c>
    </row>
    <row r="23">
      <c r="A23" s="2" t="n">
        <v>2008</v>
      </c>
      <c r="B23" s="1" t="n">
        <v>115</v>
      </c>
      <c r="C23" s="1" t="n">
        <v>55</v>
      </c>
      <c r="D23" s="1" t="n">
        <v>570</v>
      </c>
      <c r="E23" s="1" t="n">
        <v>25</v>
      </c>
      <c r="F23" s="1" t="n">
        <v>1250</v>
      </c>
      <c r="G23" s="1" t="n">
        <v>23</v>
      </c>
      <c r="H23" s="1" t="n">
        <v>420</v>
      </c>
      <c r="I23" s="1" t="n">
        <v>100</v>
      </c>
      <c r="J23" s="1" t="n">
        <v>638.695323335641</v>
      </c>
      <c r="K23" s="1" t="n">
        <v>7100</v>
      </c>
      <c r="L23" s="1" t="n">
        <v>2477.8711405496</v>
      </c>
      <c r="M23" s="1" t="n">
        <v>925</v>
      </c>
      <c r="N23" s="1" t="n">
        <v>2600</v>
      </c>
      <c r="O23" s="1" t="n">
        <v>360</v>
      </c>
      <c r="P23" s="4" t="str">
        <f>SUM(B23:O23)</f>
      </c>
    </row>
    <row r="24">
      <c r="A24" s="2" t="n">
        <v>2009</v>
      </c>
      <c r="B24" s="1" t="n">
        <v>130.382023834279</v>
      </c>
      <c r="C24" s="1" t="n">
        <v>330</v>
      </c>
      <c r="D24" s="1" t="n">
        <v>330</v>
      </c>
      <c r="E24" s="1" t="n">
        <v>340</v>
      </c>
      <c r="F24" s="1" t="n">
        <v>750</v>
      </c>
      <c r="G24" s="1" t="n">
        <v>110</v>
      </c>
      <c r="H24" s="1" t="n">
        <v>1050</v>
      </c>
      <c r="I24" s="1" t="n">
        <v>100</v>
      </c>
      <c r="J24" s="1" t="n">
        <v>1100</v>
      </c>
      <c r="K24" s="1" t="n">
        <v>150</v>
      </c>
      <c r="L24" s="1" t="n">
        <v>315</v>
      </c>
      <c r="M24" s="1" t="n">
        <v>1675</v>
      </c>
      <c r="N24" s="1" t="n">
        <v>700</v>
      </c>
      <c r="O24" s="1" t="n">
        <v>225</v>
      </c>
      <c r="P24" s="4" t="str">
        <f>SUM(B24:O24)</f>
      </c>
    </row>
    <row r="25">
      <c r="A25" s="2" t="n">
        <v>2010</v>
      </c>
      <c r="B25" s="1" t="n">
        <v>85</v>
      </c>
      <c r="C25" s="1" t="n">
        <v>102</v>
      </c>
      <c r="D25" s="1" t="n">
        <v>370</v>
      </c>
      <c r="E25" s="1" t="n">
        <v>62.1158935313079</v>
      </c>
      <c r="F25" s="1" t="n">
        <v>880</v>
      </c>
      <c r="G25" s="1" t="n">
        <v>90</v>
      </c>
      <c r="H25" s="1" t="n">
        <v>570</v>
      </c>
      <c r="I25" s="1" t="n">
        <v>190</v>
      </c>
      <c r="J25" s="1" t="n">
        <v>196.086964866035</v>
      </c>
      <c r="K25" s="1" t="n">
        <v>350</v>
      </c>
      <c r="L25" s="1" t="n">
        <v>550</v>
      </c>
      <c r="M25" s="1" t="n">
        <v>350</v>
      </c>
      <c r="N25" s="1" t="n">
        <v>200</v>
      </c>
      <c r="O25" s="1" t="n">
        <v>608.828095725289</v>
      </c>
      <c r="P25" s="4" t="str">
        <f>SUM(B25:O25)</f>
      </c>
    </row>
    <row r="26">
      <c r="A26" s="2" t="n">
        <v>2011</v>
      </c>
      <c r="B26" s="1" t="n">
        <v>91.2480666264767</v>
      </c>
      <c r="C26" s="1" t="n">
        <v>87.2587593405237</v>
      </c>
      <c r="D26" s="1" t="n">
        <v>350</v>
      </c>
      <c r="E26" s="1" t="n">
        <v>68.923085261718</v>
      </c>
      <c r="F26" s="1" t="n">
        <v>175</v>
      </c>
      <c r="G26" s="1" t="n">
        <v>76.6504231488537</v>
      </c>
      <c r="H26" s="1" t="n">
        <v>110</v>
      </c>
      <c r="I26" s="1" t="n">
        <v>85</v>
      </c>
      <c r="J26" s="1" t="n">
        <v>217.575854259609</v>
      </c>
      <c r="K26" s="1" t="n">
        <v>1235</v>
      </c>
      <c r="L26" s="1" t="n">
        <v>736.375223981728</v>
      </c>
      <c r="M26" s="1" t="n">
        <v>350</v>
      </c>
      <c r="N26" s="1" t="n">
        <v>850</v>
      </c>
      <c r="O26" s="1" t="n">
        <v>675.548693994935</v>
      </c>
      <c r="P26" s="4" t="str">
        <f>SUM(B26:O26)</f>
      </c>
    </row>
    <row r="27">
      <c r="A27" s="2" t="n">
        <v>2012</v>
      </c>
      <c r="B27" s="1" t="n">
        <v>25</v>
      </c>
      <c r="C27" s="1" t="n">
        <v>60</v>
      </c>
      <c r="D27" s="1" t="n">
        <v>400</v>
      </c>
      <c r="E27" s="1" t="n">
        <v>161.196397796449</v>
      </c>
      <c r="F27" s="1" t="n">
        <v>170</v>
      </c>
      <c r="G27" s="1" t="n">
        <v>40</v>
      </c>
      <c r="H27" s="1" t="n">
        <v>691.683008846129</v>
      </c>
      <c r="I27" s="1" t="n">
        <v>110</v>
      </c>
      <c r="J27" s="1" t="n">
        <v>330</v>
      </c>
      <c r="K27" s="1" t="n">
        <v>2400</v>
      </c>
      <c r="L27" s="1" t="n">
        <v>3300</v>
      </c>
      <c r="M27" s="1" t="n">
        <v>2650</v>
      </c>
      <c r="N27" s="1" t="n">
        <v>360</v>
      </c>
      <c r="O27" s="1" t="n">
        <v>1250</v>
      </c>
      <c r="P27" s="4" t="str">
        <f>SUM(B27:O27)</f>
      </c>
    </row>
    <row r="28">
      <c r="A28" s="2" t="n">
        <v>2013</v>
      </c>
      <c r="B28" s="1" t="n">
        <v>191.935353710422</v>
      </c>
      <c r="C28" s="1" t="n">
        <v>185.445853038298</v>
      </c>
      <c r="D28" s="1" t="n">
        <v>721.512879716342</v>
      </c>
      <c r="E28" s="1" t="n">
        <v>152.474639622447</v>
      </c>
      <c r="F28" s="1" t="n">
        <v>790.966970051049</v>
      </c>
      <c r="G28" s="1" t="n">
        <v>162.231110689377</v>
      </c>
      <c r="H28" s="1" t="n">
        <v>654.258525305003</v>
      </c>
      <c r="I28" s="1" t="n">
        <v>267.597228690654</v>
      </c>
      <c r="J28" s="1" t="n">
        <v>215</v>
      </c>
      <c r="K28" s="1" t="n">
        <v>2140</v>
      </c>
      <c r="L28" s="1" t="n">
        <v>1560</v>
      </c>
      <c r="M28" s="1" t="n">
        <v>2370</v>
      </c>
      <c r="N28" s="1" t="n">
        <v>550</v>
      </c>
      <c r="O28" s="1" t="n">
        <v>1340</v>
      </c>
      <c r="P28" s="4" t="str">
        <f>SUM(B28:O28)</f>
      </c>
    </row>
    <row r="29">
      <c r="A29" s="2" t="n">
        <v>2014</v>
      </c>
      <c r="B29" s="1" t="n">
        <v>425</v>
      </c>
      <c r="C29" s="1" t="n">
        <v>80</v>
      </c>
      <c r="D29" s="1" t="n">
        <v>660</v>
      </c>
      <c r="E29" s="1" t="n">
        <v>185.915971794892</v>
      </c>
      <c r="F29" s="1" t="n">
        <v>1500</v>
      </c>
      <c r="G29" s="1" t="n">
        <v>197.812270118262</v>
      </c>
      <c r="H29" s="1" t="n">
        <v>850</v>
      </c>
      <c r="I29" s="1" t="n">
        <v>400</v>
      </c>
      <c r="J29" s="1" t="n">
        <v>220</v>
      </c>
      <c r="K29" s="1" t="n">
        <v>2000</v>
      </c>
      <c r="L29" s="1" t="n">
        <v>1300</v>
      </c>
      <c r="M29" s="1" t="n">
        <v>30</v>
      </c>
      <c r="N29" s="1" t="n">
        <v>931.366357837687</v>
      </c>
      <c r="O29" s="1" t="n">
        <v>5000</v>
      </c>
      <c r="P29" s="4" t="str">
        <f>SUM(B29:O29)</f>
      </c>
    </row>
    <row r="30">
      <c r="A30" s="2" t="n">
        <v>2015</v>
      </c>
      <c r="B30" s="1" t="n">
        <v>20</v>
      </c>
      <c r="C30" s="1" t="n">
        <v>200</v>
      </c>
      <c r="D30" s="1" t="n">
        <v>550</v>
      </c>
      <c r="E30" s="1" t="n">
        <v>135.311372993295</v>
      </c>
      <c r="F30" s="1" t="n">
        <v>1200</v>
      </c>
      <c r="G30" s="1" t="n">
        <v>143.969609529577</v>
      </c>
      <c r="H30" s="1" t="n">
        <v>550</v>
      </c>
      <c r="I30" s="1" t="n">
        <v>200</v>
      </c>
      <c r="J30" s="1" t="n">
        <v>450</v>
      </c>
      <c r="K30" s="1" t="n">
        <v>2310</v>
      </c>
      <c r="L30" s="1" t="n">
        <v>1470</v>
      </c>
      <c r="M30" s="1" t="n">
        <v>1555</v>
      </c>
      <c r="N30" s="1" t="n">
        <v>210</v>
      </c>
      <c r="O30" s="1" t="n">
        <v>1035</v>
      </c>
      <c r="P30" s="4" t="str">
        <f>SUM(B30:O30)</f>
      </c>
    </row>
    <row r="31">
      <c r="A31" s="2" t="n">
        <v>2016</v>
      </c>
      <c r="B31" s="1" t="n">
        <v>160</v>
      </c>
      <c r="C31" s="1" t="n">
        <v>25</v>
      </c>
      <c r="D31" s="1" t="n">
        <v>810</v>
      </c>
      <c r="E31" s="1" t="n">
        <v>450</v>
      </c>
      <c r="F31" s="1" t="n">
        <v>370</v>
      </c>
      <c r="G31" s="1" t="n">
        <v>90</v>
      </c>
      <c r="H31" s="1" t="n">
        <v>540</v>
      </c>
      <c r="I31" s="1" t="n">
        <v>319.824617310978</v>
      </c>
      <c r="J31" s="1" t="n">
        <v>750</v>
      </c>
      <c r="K31" s="1" t="n">
        <v>3070</v>
      </c>
      <c r="L31" s="1" t="n">
        <v>2470</v>
      </c>
      <c r="M31" s="1" t="n">
        <v>2120</v>
      </c>
      <c r="N31" s="1" t="n">
        <v>280</v>
      </c>
      <c r="O31" s="1" t="n">
        <v>1970</v>
      </c>
      <c r="P31" s="4" t="str">
        <f>SUM(B31:O31)</f>
      </c>
    </row>
    <row r="32">
      <c r="A32" s="2" t="n">
        <v>2017</v>
      </c>
      <c r="B32" s="1" t="n">
        <v>40</v>
      </c>
      <c r="C32" s="1" t="n">
        <v>176.337346863721</v>
      </c>
      <c r="D32" s="1" t="n">
        <v>540</v>
      </c>
      <c r="E32" s="1" t="n">
        <v>280</v>
      </c>
      <c r="F32" s="1" t="n">
        <v>850</v>
      </c>
      <c r="G32" s="1" t="n">
        <v>20</v>
      </c>
      <c r="H32" s="1" t="n">
        <v>100</v>
      </c>
      <c r="I32" s="1" t="n">
        <v>240</v>
      </c>
      <c r="J32" s="1" t="n">
        <v>285</v>
      </c>
      <c r="K32" s="1" t="n">
        <v>3100</v>
      </c>
      <c r="L32" s="1" t="n">
        <v>2450</v>
      </c>
      <c r="M32" s="1" t="n">
        <v>1675</v>
      </c>
      <c r="N32" s="1" t="n">
        <v>830</v>
      </c>
      <c r="O32" s="1" t="n">
        <v>980</v>
      </c>
      <c r="P32" s="4" t="str">
        <f>SUM(B32:O32)</f>
      </c>
    </row>
    <row r="33">
      <c r="A33" s="2" t="n">
        <v>2018</v>
      </c>
      <c r="B33" s="1" t="n">
        <v>75</v>
      </c>
      <c r="C33" s="1" t="n">
        <v>55</v>
      </c>
      <c r="D33" s="1" t="n">
        <v>280</v>
      </c>
      <c r="E33" s="1" t="n">
        <v>70</v>
      </c>
      <c r="F33" s="1" t="n">
        <v>610</v>
      </c>
      <c r="G33" s="1" t="n">
        <v>186.626893113072</v>
      </c>
      <c r="H33" s="1" t="n">
        <v>595</v>
      </c>
      <c r="I33" s="1" t="n">
        <v>110</v>
      </c>
      <c r="J33" s="1" t="n">
        <v>160</v>
      </c>
      <c r="K33" s="1" t="n">
        <v>3100</v>
      </c>
      <c r="L33" s="1" t="n">
        <v>3300</v>
      </c>
      <c r="M33" s="1" t="n">
        <v>1750</v>
      </c>
      <c r="N33" s="1" t="n">
        <v>884.979828430718</v>
      </c>
      <c r="O33" s="1" t="n">
        <v>2700</v>
      </c>
      <c r="P33" s="4" t="str">
        <f>SUM(B33:O33)</f>
      </c>
    </row>
    <row r="34">
      <c r="A34" s="2" t="n">
        <v>2019</v>
      </c>
      <c r="B34" s="1" t="n">
        <v>240</v>
      </c>
      <c r="C34" s="1" t="n">
        <v>60</v>
      </c>
      <c r="D34" s="1" t="n">
        <v>220</v>
      </c>
      <c r="E34" s="1" t="n">
        <v>114.339098415622</v>
      </c>
      <c r="F34" s="1" t="n">
        <v>420</v>
      </c>
      <c r="G34" s="1" t="n">
        <v>20</v>
      </c>
      <c r="H34" s="1" t="n">
        <v>800</v>
      </c>
      <c r="I34" s="1" t="n">
        <v>700</v>
      </c>
      <c r="J34" s="1" t="n">
        <v>60</v>
      </c>
      <c r="K34" s="1" t="n">
        <v>2200</v>
      </c>
      <c r="L34" s="1" t="n">
        <v>570</v>
      </c>
      <c r="M34" s="1" t="n">
        <v>1410</v>
      </c>
      <c r="N34" s="1" t="n">
        <v>600</v>
      </c>
      <c r="O34" s="1" t="n">
        <v>500</v>
      </c>
      <c r="P34" s="4" t="str">
        <f>SUM(B34:O34)</f>
      </c>
    </row>
    <row r="35">
      <c r="A35" s="2" t="n">
        <v>2020</v>
      </c>
      <c r="B35" s="1" t="n">
        <v>280</v>
      </c>
      <c r="C35" s="1" t="n">
        <v>80</v>
      </c>
      <c r="D35" s="1" t="n">
        <v>2200</v>
      </c>
      <c r="E35" s="1" t="n">
        <v>100</v>
      </c>
      <c r="F35" s="1" t="n">
        <v>950</v>
      </c>
      <c r="G35" s="1" t="n">
        <v>30</v>
      </c>
      <c r="H35" s="1" t="n">
        <v>850</v>
      </c>
      <c r="I35" s="1" t="n">
        <v>60</v>
      </c>
      <c r="J35" s="1" t="n">
        <v>20</v>
      </c>
      <c r="K35" s="1" t="n">
        <v>1800</v>
      </c>
      <c r="L35" s="1" t="n">
        <v>1400</v>
      </c>
      <c r="M35" s="1" t="n">
        <v>200</v>
      </c>
      <c r="N35" s="1" t="n">
        <v>200</v>
      </c>
      <c r="O35" s="1" t="n">
        <v>440</v>
      </c>
      <c r="P35" s="4" t="str">
        <f>SUM(B35:O35)</f>
      </c>
    </row>
    <row r="36">
      <c r="A36" s="2" t="n">
        <v>2021</v>
      </c>
      <c r="B36" s="1" t="n">
        <v>660</v>
      </c>
      <c r="C36" s="1" t="n">
        <v>301.871750161982</v>
      </c>
      <c r="D36" s="1" t="n">
        <v>980</v>
      </c>
      <c r="E36" s="1" t="n">
        <v>301.907322897699</v>
      </c>
      <c r="F36" s="1" t="n">
        <v>400</v>
      </c>
      <c r="G36" s="1" t="n">
        <v>320</v>
      </c>
      <c r="H36" s="1" t="n">
        <v>610</v>
      </c>
      <c r="I36" s="1" t="n">
        <v>210</v>
      </c>
      <c r="J36" s="1" t="n">
        <v>900</v>
      </c>
      <c r="K36" s="1" t="n">
        <v>9000</v>
      </c>
      <c r="L36" s="1" t="n">
        <v>3600</v>
      </c>
      <c r="M36" s="1" t="n">
        <v>1230</v>
      </c>
      <c r="N36" s="1" t="n">
        <v>1000</v>
      </c>
      <c r="O36" s="1" t="n">
        <v>1500</v>
      </c>
      <c r="P36" s="4" t="str">
        <f>SUM(B36:O36)</f>
      </c>
    </row>
    <row r="37">
      <c r="A37" s="2" t="n">
        <v>2022</v>
      </c>
      <c r="B37" s="1" t="n">
        <v>210.800670504506</v>
      </c>
      <c r="C37" s="1" t="n">
        <v>20</v>
      </c>
      <c r="D37" s="1" t="n">
        <v>1500</v>
      </c>
      <c r="E37" s="1" t="n">
        <v>172.170348349593</v>
      </c>
      <c r="F37" s="1" t="n">
        <v>350</v>
      </c>
      <c r="G37" s="1" t="n">
        <v>150</v>
      </c>
      <c r="H37" s="1" t="n">
        <v>220</v>
      </c>
      <c r="I37" s="1" t="n">
        <v>150</v>
      </c>
      <c r="J37" s="1" t="n">
        <v>441.705325885756</v>
      </c>
      <c r="K37" s="1" t="n">
        <v>4400</v>
      </c>
      <c r="L37" s="1" t="n">
        <v>2200</v>
      </c>
      <c r="M37" s="1" t="n">
        <v>450</v>
      </c>
      <c r="N37" s="1" t="n">
        <v>120</v>
      </c>
      <c r="O37" s="1" t="n">
        <v>1598.96694163392</v>
      </c>
      <c r="P37" s="4" t="str">
        <f>SUM(B37:O37)</f>
      </c>
    </row>
    <row r="38">
      <c r="A38" s="2" t="n">
        <v>2023</v>
      </c>
      <c r="B38" s="1" t="n">
        <v>210</v>
      </c>
      <c r="C38" s="1" t="n">
        <v>140</v>
      </c>
      <c r="D38" s="1" t="n">
        <v>2150</v>
      </c>
      <c r="E38" s="1" t="n">
        <v>20</v>
      </c>
      <c r="F38" s="1" t="n">
        <v>620</v>
      </c>
      <c r="G38" s="1" t="n">
        <v>295.162537574381</v>
      </c>
      <c r="H38" s="1" t="n">
        <v>2600</v>
      </c>
      <c r="I38" s="1" t="n">
        <v>720</v>
      </c>
      <c r="J38" s="1" t="n">
        <v>70</v>
      </c>
      <c r="K38" s="1" t="n">
        <v>6000</v>
      </c>
      <c r="L38" s="1" t="n">
        <v>7300</v>
      </c>
      <c r="M38" s="1" t="n">
        <v>750</v>
      </c>
      <c r="N38" s="1" t="n">
        <v>150</v>
      </c>
      <c r="O38" s="1" t="n">
        <v>1650</v>
      </c>
      <c r="P38" s="4" t="str">
        <f>SUM(B38:O38)</f>
      </c>
    </row>
    <row r="39">
      <c r="A39" s="2" t="n">
        <v>2024</v>
      </c>
      <c r="B39" s="1" t="n">
        <v>140</v>
      </c>
      <c r="C39" s="1" t="n">
        <v>120</v>
      </c>
      <c r="D39" s="1" t="n">
        <v>1300</v>
      </c>
      <c r="E39" s="1" t="n">
        <v>300</v>
      </c>
      <c r="F39" s="1" t="n">
        <v>1400</v>
      </c>
      <c r="G39" s="1" t="n">
        <v>20</v>
      </c>
      <c r="H39" s="1" t="n">
        <v>670</v>
      </c>
      <c r="I39" s="1" t="n">
        <v>120</v>
      </c>
      <c r="J39" s="1" t="n">
        <v>20</v>
      </c>
      <c r="K39" s="1" t="n">
        <v>10000</v>
      </c>
      <c r="L39" s="1" t="n">
        <v>17000</v>
      </c>
      <c r="M39" s="1" t="n">
        <v>1900</v>
      </c>
      <c r="N39" s="1" t="n">
        <v>800</v>
      </c>
      <c r="O39" s="1" t="n">
        <v>2500</v>
      </c>
      <c r="P39" s="4" t="str">
        <f>SUM(B39:O39)</f>
      </c>
    </row>
    <row r="40">
      <c r="A40" s="6" t="n">
        <v>2025</v>
      </c>
      <c r="B40" s="5" t="n">
        <v>290</v>
      </c>
      <c r="C40" s="5" t="n">
        <v>245.384669457003</v>
      </c>
      <c r="D40" s="5" t="n">
        <v>650</v>
      </c>
      <c r="E40" s="5" t="n">
        <v>250</v>
      </c>
      <c r="F40" s="5" t="n">
        <v>900</v>
      </c>
      <c r="G40" s="5" t="n">
        <v>140</v>
      </c>
      <c r="H40" s="5" t="n">
        <v>180</v>
      </c>
      <c r="I40" s="5" t="n">
        <v>200</v>
      </c>
      <c r="J40" s="5" t="n">
        <v>620.379947410462</v>
      </c>
      <c r="K40" s="5" t="n">
        <v>1600</v>
      </c>
      <c r="L40" s="5" t="n">
        <v>5600</v>
      </c>
      <c r="M40" s="5" t="n">
        <v>1350</v>
      </c>
      <c r="N40" s="5" t="n">
        <v>6000</v>
      </c>
      <c r="O40" s="5" t="n">
        <v>1600</v>
      </c>
      <c r="P40" s="5" t="str">
        <f>SUM(B40:O40)</f>
      </c>
    </row>
  </sheetData>
  <conditionalFormatting sqref="C2:C2">
    <cfRule type="expression" dxfId="0" priority="68">
      <formula>C2&lt;&gt;""</formula>
    </cfRule>
  </conditionalFormatting>
  <conditionalFormatting sqref="E2:E2">
    <cfRule type="expression" dxfId="0" priority="67">
      <formula>E2&lt;&gt;""</formula>
    </cfRule>
  </conditionalFormatting>
  <conditionalFormatting sqref="F2:F2">
    <cfRule type="expression" dxfId="0" priority="66">
      <formula>F2&lt;&gt;""</formula>
    </cfRule>
  </conditionalFormatting>
  <conditionalFormatting sqref="G2:G2">
    <cfRule type="expression" dxfId="0" priority="65">
      <formula>G2&lt;&gt;""</formula>
    </cfRule>
  </conditionalFormatting>
  <conditionalFormatting sqref="H2:H2">
    <cfRule type="expression" dxfId="0" priority="64">
      <formula>H2&lt;&gt;""</formula>
    </cfRule>
  </conditionalFormatting>
  <conditionalFormatting sqref="I2:I2">
    <cfRule type="expression" dxfId="0" priority="63">
      <formula>I2&lt;&gt;""</formula>
    </cfRule>
  </conditionalFormatting>
  <conditionalFormatting sqref="J4:J4">
    <cfRule type="expression" dxfId="0" priority="62">
      <formula>J4&lt;&gt;""</formula>
    </cfRule>
  </conditionalFormatting>
  <conditionalFormatting sqref="F5:F5">
    <cfRule type="expression" dxfId="0" priority="61">
      <formula>F5&lt;&gt;""</formula>
    </cfRule>
  </conditionalFormatting>
  <conditionalFormatting sqref="G5:G5">
    <cfRule type="expression" dxfId="0" priority="60">
      <formula>G5&lt;&gt;""</formula>
    </cfRule>
  </conditionalFormatting>
  <conditionalFormatting sqref="I5:I5">
    <cfRule type="expression" dxfId="0" priority="59">
      <formula>I5&lt;&gt;""</formula>
    </cfRule>
  </conditionalFormatting>
  <conditionalFormatting sqref="J5:J5">
    <cfRule type="expression" dxfId="0" priority="58">
      <formula>J5&lt;&gt;""</formula>
    </cfRule>
  </conditionalFormatting>
  <conditionalFormatting sqref="C12:C12">
    <cfRule type="expression" dxfId="0" priority="57">
      <formula>C12&lt;&gt;""</formula>
    </cfRule>
  </conditionalFormatting>
  <conditionalFormatting sqref="F12:F12">
    <cfRule type="expression" dxfId="0" priority="56">
      <formula>F12&lt;&gt;""</formula>
    </cfRule>
  </conditionalFormatting>
  <conditionalFormatting sqref="G12:G12">
    <cfRule type="expression" dxfId="0" priority="55">
      <formula>G12&lt;&gt;""</formula>
    </cfRule>
  </conditionalFormatting>
  <conditionalFormatting sqref="H12:H12">
    <cfRule type="expression" dxfId="0" priority="54">
      <formula>H12&lt;&gt;""</formula>
    </cfRule>
  </conditionalFormatting>
  <conditionalFormatting sqref="J13:J13">
    <cfRule type="expression" dxfId="0" priority="53">
      <formula>J13&lt;&gt;""</formula>
    </cfRule>
  </conditionalFormatting>
  <conditionalFormatting sqref="L16:L16">
    <cfRule type="expression" dxfId="0" priority="52">
      <formula>L16&lt;&gt;""</formula>
    </cfRule>
  </conditionalFormatting>
  <conditionalFormatting sqref="O16:O16">
    <cfRule type="expression" dxfId="0" priority="51">
      <formula>O16&lt;&gt;""</formula>
    </cfRule>
  </conditionalFormatting>
  <conditionalFormatting sqref="C18:C18">
    <cfRule type="expression" dxfId="0" priority="50">
      <formula>C18&lt;&gt;""</formula>
    </cfRule>
  </conditionalFormatting>
  <conditionalFormatting sqref="J18:J18">
    <cfRule type="expression" dxfId="0" priority="49">
      <formula>J18&lt;&gt;""</formula>
    </cfRule>
  </conditionalFormatting>
  <conditionalFormatting sqref="C21:C21">
    <cfRule type="expression" dxfId="0" priority="48">
      <formula>C21&lt;&gt;""</formula>
    </cfRule>
  </conditionalFormatting>
  <conditionalFormatting sqref="J21:J21">
    <cfRule type="expression" dxfId="0" priority="47">
      <formula>J21&lt;&gt;""</formula>
    </cfRule>
  </conditionalFormatting>
  <conditionalFormatting sqref="D22:D22">
    <cfRule type="expression" dxfId="0" priority="46">
      <formula>D22&lt;&gt;""</formula>
    </cfRule>
  </conditionalFormatting>
  <conditionalFormatting sqref="J22:J22">
    <cfRule type="expression" dxfId="0" priority="45">
      <formula>J22&lt;&gt;""</formula>
    </cfRule>
  </conditionalFormatting>
  <conditionalFormatting sqref="N22:N22">
    <cfRule type="expression" dxfId="0" priority="44">
      <formula>N22&lt;&gt;""</formula>
    </cfRule>
  </conditionalFormatting>
  <conditionalFormatting sqref="O22:O22">
    <cfRule type="expression" dxfId="0" priority="43">
      <formula>O22&lt;&gt;""</formula>
    </cfRule>
  </conditionalFormatting>
  <conditionalFormatting sqref="J23:J23">
    <cfRule type="expression" dxfId="0" priority="42">
      <formula>J23&lt;&gt;""</formula>
    </cfRule>
  </conditionalFormatting>
  <conditionalFormatting sqref="L23:L23">
    <cfRule type="expression" dxfId="0" priority="41">
      <formula>L23&lt;&gt;""</formula>
    </cfRule>
  </conditionalFormatting>
  <conditionalFormatting sqref="B24:B24">
    <cfRule type="expression" dxfId="0" priority="40">
      <formula>B24&lt;&gt;""</formula>
    </cfRule>
  </conditionalFormatting>
  <conditionalFormatting sqref="E25:E25">
    <cfRule type="expression" dxfId="0" priority="39">
      <formula>E25&lt;&gt;""</formula>
    </cfRule>
  </conditionalFormatting>
  <conditionalFormatting sqref="J25:J25">
    <cfRule type="expression" dxfId="0" priority="38">
      <formula>J25&lt;&gt;""</formula>
    </cfRule>
  </conditionalFormatting>
  <conditionalFormatting sqref="O25:O25">
    <cfRule type="expression" dxfId="0" priority="37">
      <formula>O25&lt;&gt;""</formula>
    </cfRule>
  </conditionalFormatting>
  <conditionalFormatting sqref="B26:B26">
    <cfRule type="expression" dxfId="0" priority="36">
      <formula>B26&lt;&gt;""</formula>
    </cfRule>
  </conditionalFormatting>
  <conditionalFormatting sqref="C26:C26">
    <cfRule type="expression" dxfId="0" priority="35">
      <formula>C26&lt;&gt;""</formula>
    </cfRule>
  </conditionalFormatting>
  <conditionalFormatting sqref="E26:E26">
    <cfRule type="expression" dxfId="0" priority="34">
      <formula>E26&lt;&gt;""</formula>
    </cfRule>
  </conditionalFormatting>
  <conditionalFormatting sqref="G26:G26">
    <cfRule type="expression" dxfId="0" priority="33">
      <formula>G26&lt;&gt;""</formula>
    </cfRule>
  </conditionalFormatting>
  <conditionalFormatting sqref="J26:J26">
    <cfRule type="expression" dxfId="0" priority="32">
      <formula>J26&lt;&gt;""</formula>
    </cfRule>
  </conditionalFormatting>
  <conditionalFormatting sqref="L26:L26">
    <cfRule type="expression" dxfId="0" priority="31">
      <formula>L26&lt;&gt;""</formula>
    </cfRule>
  </conditionalFormatting>
  <conditionalFormatting sqref="O26:O26">
    <cfRule type="expression" dxfId="0" priority="30">
      <formula>O26&lt;&gt;""</formula>
    </cfRule>
  </conditionalFormatting>
  <conditionalFormatting sqref="E27:E27">
    <cfRule type="expression" dxfId="0" priority="29">
      <formula>E27&lt;&gt;""</formula>
    </cfRule>
  </conditionalFormatting>
  <conditionalFormatting sqref="H27:H27">
    <cfRule type="expression" dxfId="0" priority="28">
      <formula>H27&lt;&gt;""</formula>
    </cfRule>
  </conditionalFormatting>
  <conditionalFormatting sqref="B28:B28">
    <cfRule type="expression" dxfId="0" priority="27">
      <formula>B28&lt;&gt;""</formula>
    </cfRule>
  </conditionalFormatting>
  <conditionalFormatting sqref="C28:C28">
    <cfRule type="expression" dxfId="0" priority="26">
      <formula>C28&lt;&gt;""</formula>
    </cfRule>
  </conditionalFormatting>
  <conditionalFormatting sqref="D28:D28">
    <cfRule type="expression" dxfId="0" priority="25">
      <formula>D28&lt;&gt;""</formula>
    </cfRule>
  </conditionalFormatting>
  <conditionalFormatting sqref="E28:E28">
    <cfRule type="expression" dxfId="0" priority="24">
      <formula>E28&lt;&gt;""</formula>
    </cfRule>
  </conditionalFormatting>
  <conditionalFormatting sqref="F28:F28">
    <cfRule type="expression" dxfId="0" priority="23">
      <formula>F28&lt;&gt;""</formula>
    </cfRule>
  </conditionalFormatting>
  <conditionalFormatting sqref="G28:G28">
    <cfRule type="expression" dxfId="0" priority="22">
      <formula>G28&lt;&gt;""</formula>
    </cfRule>
  </conditionalFormatting>
  <conditionalFormatting sqref="H28:H28">
    <cfRule type="expression" dxfId="0" priority="21">
      <formula>H28&lt;&gt;""</formula>
    </cfRule>
  </conditionalFormatting>
  <conditionalFormatting sqref="I28:I28">
    <cfRule type="expression" dxfId="0" priority="20">
      <formula>I28&lt;&gt;""</formula>
    </cfRule>
  </conditionalFormatting>
  <conditionalFormatting sqref="E29:E29">
    <cfRule type="expression" dxfId="0" priority="19">
      <formula>E29&lt;&gt;""</formula>
    </cfRule>
  </conditionalFormatting>
  <conditionalFormatting sqref="G29:G29">
    <cfRule type="expression" dxfId="0" priority="18">
      <formula>G29&lt;&gt;""</formula>
    </cfRule>
  </conditionalFormatting>
  <conditionalFormatting sqref="N29:N29">
    <cfRule type="expression" dxfId="0" priority="17">
      <formula>N29&lt;&gt;""</formula>
    </cfRule>
  </conditionalFormatting>
  <conditionalFormatting sqref="E30:E30">
    <cfRule type="expression" dxfId="0" priority="16">
      <formula>E30&lt;&gt;""</formula>
    </cfRule>
  </conditionalFormatting>
  <conditionalFormatting sqref="G30:G30">
    <cfRule type="expression" dxfId="0" priority="15">
      <formula>G30&lt;&gt;""</formula>
    </cfRule>
  </conditionalFormatting>
  <conditionalFormatting sqref="I31:I31">
    <cfRule type="expression" dxfId="0" priority="14">
      <formula>I31&lt;&gt;""</formula>
    </cfRule>
  </conditionalFormatting>
  <conditionalFormatting sqref="C32:C32">
    <cfRule type="expression" dxfId="0" priority="13">
      <formula>C32&lt;&gt;""</formula>
    </cfRule>
  </conditionalFormatting>
  <conditionalFormatting sqref="G33:G33">
    <cfRule type="expression" dxfId="0" priority="12">
      <formula>G33&lt;&gt;""</formula>
    </cfRule>
  </conditionalFormatting>
  <conditionalFormatting sqref="N33:N33">
    <cfRule type="expression" dxfId="0" priority="11">
      <formula>N33&lt;&gt;""</formula>
    </cfRule>
  </conditionalFormatting>
  <conditionalFormatting sqref="E34:E34">
    <cfRule type="expression" dxfId="0" priority="10">
      <formula>E34&lt;&gt;""</formula>
    </cfRule>
  </conditionalFormatting>
  <conditionalFormatting sqref="C36:C36">
    <cfRule type="expression" dxfId="0" priority="9">
      <formula>C36&lt;&gt;""</formula>
    </cfRule>
  </conditionalFormatting>
  <conditionalFormatting sqref="E36:E36">
    <cfRule type="expression" dxfId="0" priority="8">
      <formula>E36&lt;&gt;""</formula>
    </cfRule>
  </conditionalFormatting>
  <conditionalFormatting sqref="B37:B37">
    <cfRule type="expression" dxfId="0" priority="7">
      <formula>B37&lt;&gt;""</formula>
    </cfRule>
  </conditionalFormatting>
  <conditionalFormatting sqref="E37:E37">
    <cfRule type="expression" dxfId="0" priority="6">
      <formula>E37&lt;&gt;""</formula>
    </cfRule>
  </conditionalFormatting>
  <conditionalFormatting sqref="J37:J37">
    <cfRule type="expression" dxfId="0" priority="5">
      <formula>J37&lt;&gt;""</formula>
    </cfRule>
  </conditionalFormatting>
  <conditionalFormatting sqref="O37:O37">
    <cfRule type="expression" dxfId="0" priority="4">
      <formula>O37&lt;&gt;""</formula>
    </cfRule>
  </conditionalFormatting>
  <conditionalFormatting sqref="G38:G38">
    <cfRule type="expression" dxfId="0" priority="3">
      <formula>G38&lt;&gt;""</formula>
    </cfRule>
  </conditionalFormatting>
  <conditionalFormatting sqref="C40:C40">
    <cfRule type="expression" dxfId="0" priority="2">
      <formula>C40&lt;&gt;""</formula>
    </cfRule>
  </conditionalFormatting>
  <conditionalFormatting sqref="J40:J40">
    <cfRule type="expression" dxfId="0" priority="1">
      <formula>J40&lt;&gt;""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krcourtney</dc:creator>
  <cp:lastModifiedBy>krcourtney</cp:lastModifiedBy>
  <dcterms:created xsi:type="dcterms:W3CDTF">2025-11-20T21:56:35Z</dcterms:created>
</coreProperties>
</file>